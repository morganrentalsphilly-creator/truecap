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d17398a5a74f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al Analyzer" sheetId="1" r:id="R484fd5fba4d54de3"/>
    <x:sheet xmlns:r="http://schemas.openxmlformats.org/officeDocument/2006/relationships" name="10-Year Projection" sheetId="2" r:id="Rd3e813cc81134f6f"/>
    <x:sheet xmlns:r="http://schemas.openxmlformats.org/officeDocument/2006/relationships" name="Quick Reference" sheetId="3" r:id="R52debbc556ae4987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56" formatCode="&quot;上午/下午 &quot;hh&quot;時&quot;mm&quot;分&quot;ss&quot;秒 &quot;"/>
    <x:numFmt numFmtId="60" formatCode="&quot;$&quot;#,##0"/>
    <x:numFmt numFmtId="61" formatCode="&quot;$&quot;#,##0.00"/>
    <x:numFmt numFmtId="62" formatCode="0.0%"/>
  </x:numFmts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 applyNumberFormat="1"/>
    <x:xf numFmtId="60" fontId="0" fillId="0" borderId="0" xfId="0" applyNumberFormat="1"/>
    <x:xf numFmtId="61" fontId="0" fillId="0" borderId="0" xfId="0" applyNumberFormat="1"/>
    <x:xf numFmtId="62" fontId="0" fillId="0" borderId="0" xfId="0" applyNumberFormat="1"/>
    <x:xf numFmtId="2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5a5ab7bc674ab9" /><Relationship Type="http://schemas.openxmlformats.org/officeDocument/2006/relationships/theme" Target="/xl/theme/theme1.xml" Id="R2e19ad4005304ebc" /><Relationship Type="http://schemas.openxmlformats.org/officeDocument/2006/relationships/sheetMetadata" Target="/xl/metadata1.xml" Id="Red0348bd39fe41cd" /><Relationship Type="http://schemas.openxmlformats.org/officeDocument/2006/relationships/sharedStrings" Target="/xl/sharedStrings.xml" Id="R649561a81944434c" /><Relationship Type="http://schemas.openxmlformats.org/officeDocument/2006/relationships/worksheet" Target="/xl/worksheets/sheet1.xml" Id="R484fd5fba4d54de3" /><Relationship Type="http://schemas.openxmlformats.org/officeDocument/2006/relationships/worksheet" Target="/xl/worksheets/sheet2.xml" Id="Rd3e813cc81134f6f" /><Relationship Type="http://schemas.openxmlformats.org/officeDocument/2006/relationships/worksheet" Target="/xl/worksheets/sheet3.xml" Id="R52debbc556ae498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cols>
    <x:col min="1" max="1" width="46.83203125" customWidth="1"/>
    <x:col min="2" max="2" width="24" hidden="0" customWidth="1"/>
  </x:cols>
  <x:sheetData>
    <x:row r="1">
      <x:c r="A1" t="str">
        <x:v>TrueCap Rental Property Analyzer</x:v>
      </x:c>
    </x:row>
    <x:row r="2">
      <x:c r="A2" t="str">
        <x:v>Free deal analyzer from usetruecap.com — built on TrueCap's core buy-and-hold screening conventions.</x:v>
      </x:c>
    </x:row>
    <x:row r="3">
      <x:c r="A3" t="str">
        <x:v>How to use: edit the values in the INPUTS section. Everything below it recalculates automatically.</x:v>
      </x:c>
    </x:row>
    <x:row r="5">
      <x:c r="A5" t="str">
        <x:v>INPUTS</x:v>
      </x:c>
    </x:row>
    <x:row r="6">
      <x:c r="A6" t="str">
        <x:v>Purchase price</x:v>
      </x:c>
      <x:c r="B6" s="1">
        <x:v>250000</x:v>
      </x:c>
    </x:row>
    <x:row r="7">
      <x:c r="A7" t="str">
        <x:v>Down payment (% of price)</x:v>
      </x:c>
      <x:c r="B7">
        <x:v>20</x:v>
      </x:c>
    </x:row>
    <x:row r="8">
      <x:c r="A8" t="str">
        <x:v>Interest rate (annual %)</x:v>
      </x:c>
      <x:c r="B8">
        <x:v>6.75</x:v>
      </x:c>
    </x:row>
    <x:row r="9">
      <x:c r="A9" t="str">
        <x:v>Loan term (years)</x:v>
      </x:c>
      <x:c r="B9">
        <x:v>30</x:v>
      </x:c>
    </x:row>
    <x:row r="10">
      <x:c r="A10" t="str">
        <x:v>Closing costs (% of price)</x:v>
      </x:c>
      <x:c r="B10">
        <x:v>3</x:v>
      </x:c>
    </x:row>
    <x:row r="11">
      <x:c r="A11" t="str">
        <x:v>Monthly rent</x:v>
      </x:c>
      <x:c r="B11" s="1">
        <x:v>2400</x:v>
      </x:c>
    </x:row>
    <x:row r="12">
      <x:c r="A12" t="str">
        <x:v>Property tax (% of price / yr)</x:v>
      </x:c>
      <x:c r="B12">
        <x:v>1.1</x:v>
      </x:c>
    </x:row>
    <x:row r="13">
      <x:c r="A13" t="str">
        <x:v>Insurance (% of price / yr)</x:v>
      </x:c>
      <x:c r="B13">
        <x:v>0.5</x:v>
      </x:c>
    </x:row>
    <x:row r="14">
      <x:c r="A14" t="str">
        <x:v>Vacancy reserve (% of rent)</x:v>
      </x:c>
      <x:c r="B14">
        <x:v>5</x:v>
      </x:c>
    </x:row>
    <x:row r="15">
      <x:c r="A15" t="str">
        <x:v>Management (% of rent)</x:v>
      </x:c>
      <x:c r="B15">
        <x:v>8</x:v>
      </x:c>
    </x:row>
    <x:row r="16">
      <x:c r="A16" t="str">
        <x:v>Maintenance reserve (% of rent)</x:v>
      </x:c>
      <x:c r="B16">
        <x:v>10</x:v>
      </x:c>
    </x:row>
    <x:row r="17">
      <x:c r="A17" t="str">
        <x:v>CapEx reserve (% of rent)</x:v>
      </x:c>
      <x:c r="B17">
        <x:v>5</x:v>
      </x:c>
    </x:row>
    <x:row r="18">
      <x:c r="A18" t="str">
        <x:v>HOA ($ / month)</x:v>
      </x:c>
      <x:c r="B18" s="1">
        <x:v>0</x:v>
      </x:c>
    </x:row>
    <x:row r="19">
      <x:c r="A19" t="str">
        <x:v>Owner-paid utilities ($ / month)</x:v>
      </x:c>
      <x:c r="B19" s="1">
        <x:v>0</x:v>
      </x:c>
    </x:row>
    <x:row r="20">
      <x:c r="A20" t="str">
        <x:v>PMI rate (% of loan / yr, if &lt; 20% down)</x:v>
      </x:c>
      <x:c r="B20">
        <x:v>0.8</x:v>
      </x:c>
    </x:row>
    <x:row r="22">
      <x:c r="A22" t="str">
        <x:v>FINANCING</x:v>
      </x:c>
    </x:row>
    <x:row r="23">
      <x:c r="A23" t="str">
        <x:v>Down payment</x:v>
      </x:c>
      <x:c r="B23" s="1" t="n">
        <x:f>B6*B7/100</x:f>
        <x:v>50000</x:v>
      </x:c>
    </x:row>
    <x:row r="24">
      <x:c r="A24" t="str">
        <x:v>Loan amount</x:v>
      </x:c>
      <x:c r="B24" s="1" t="n">
        <x:f>B6-B23</x:f>
        <x:v>200000</x:v>
      </x:c>
    </x:row>
    <x:row r="25">
      <x:c r="A25" t="str">
        <x:v>Monthly P&amp;I payment</x:v>
      </x:c>
      <x:c r="B25" s="2" t="n">
        <x:f>IF(B24&lt;=0,0,-PMT(B8/100/12,B9*12,B24))</x:f>
        <x:v>1297.1961931364306</x:v>
      </x:c>
    </x:row>
    <x:row r="26">
      <x:c r="A26" t="str">
        <x:v>Monthly PMI</x:v>
      </x:c>
      <x:c r="B26" s="2" t="n">
        <x:f>IF(AND(B24&gt;0,B7&lt;20,B20&gt;0),B24*B20/100/12,0)</x:f>
        <x:v>0</x:v>
      </x:c>
    </x:row>
    <x:row r="27">
      <x:c r="A27" t="str">
        <x:v>Closing costs</x:v>
      </x:c>
      <x:c r="B27" s="1" t="n">
        <x:f>B6*B10/100</x:f>
        <x:v>7500</x:v>
      </x:c>
    </x:row>
    <x:row r="28">
      <x:c r="A28" t="str">
        <x:v>Total cash required (down + closing)</x:v>
      </x:c>
      <x:c r="B28" s="1" t="n">
        <x:f>B23+B27</x:f>
        <x:v>57500</x:v>
      </x:c>
    </x:row>
    <x:row r="30">
      <x:c r="A30" t="str">
        <x:v>MONTHLY OPERATING EXPENSES</x:v>
      </x:c>
    </x:row>
    <x:row r="31">
      <x:c r="A31" t="str">
        <x:v>Property tax</x:v>
      </x:c>
      <x:c r="B31" s="2" t="n">
        <x:f>B6*B12/100/12</x:f>
        <x:v>229.16666666666666</x:v>
      </x:c>
    </x:row>
    <x:row r="32">
      <x:c r="A32" t="str">
        <x:v>Insurance</x:v>
      </x:c>
      <x:c r="B32" s="2" t="n">
        <x:f>B6*B13/100/12</x:f>
        <x:v>104.16666666666667</x:v>
      </x:c>
    </x:row>
    <x:row r="33">
      <x:c r="A33" t="str">
        <x:v>Vacancy reserve</x:v>
      </x:c>
      <x:c r="B33" s="2" t="n">
        <x:f>B11*B14/100</x:f>
        <x:v>120</x:v>
      </x:c>
    </x:row>
    <x:row r="34">
      <x:c r="A34" t="str">
        <x:v>Management</x:v>
      </x:c>
      <x:c r="B34" s="2" t="n">
        <x:f>B11*B15/100</x:f>
        <x:v>192</x:v>
      </x:c>
    </x:row>
    <x:row r="35">
      <x:c r="A35" t="str">
        <x:v>Maintenance reserve</x:v>
      </x:c>
      <x:c r="B35" s="2" t="n">
        <x:f>B11*B16/100</x:f>
        <x:v>240</x:v>
      </x:c>
    </x:row>
    <x:row r="36">
      <x:c r="A36" t="str">
        <x:v>CapEx reserve</x:v>
      </x:c>
      <x:c r="B36" s="2" t="n">
        <x:f>B11*B17/100</x:f>
        <x:v>120</x:v>
      </x:c>
    </x:row>
    <x:row r="37">
      <x:c r="A37" t="str">
        <x:v>HOA</x:v>
      </x:c>
      <x:c r="B37" s="2" t="n">
        <x:f>B18</x:f>
        <x:v>0</x:v>
      </x:c>
    </x:row>
    <x:row r="38">
      <x:c r="A38" t="str">
        <x:v>Owner-paid utilities</x:v>
      </x:c>
      <x:c r="B38" s="2" t="n">
        <x:f>B19</x:f>
        <x:v>0</x:v>
      </x:c>
    </x:row>
    <x:row r="39">
      <x:c r="A39" t="str">
        <x:v>Total operating expenses (incl. CapEx)</x:v>
      </x:c>
      <x:c r="B39" s="2" t="n">
        <x:f>SUM(B31:B38)</x:f>
        <x:v>1005.3333333333333</x:v>
      </x:c>
    </x:row>
    <x:row r="40">
      <x:c r="A40" t="str">
        <x:v>Operating expenses excl. CapEx (for NOI / DSCR)</x:v>
      </x:c>
      <x:c r="B40" s="2" t="n">
        <x:f>B39-B36</x:f>
        <x:v>885.3333333333333</x:v>
      </x:c>
    </x:row>
    <x:row r="42">
      <x:c r="A42" t="str">
        <x:v>RESULTS</x:v>
      </x:c>
    </x:row>
    <x:row r="43">
      <x:c r="A43" t="str">
        <x:v>Monthly cash flow</x:v>
      </x:c>
      <x:c r="B43" s="2" t="n">
        <x:f>B11-B39-B25-B26</x:f>
        <x:v>97.47047353023618</x:v>
      </x:c>
    </x:row>
    <x:row r="44">
      <x:c r="A44" t="str">
        <x:v>Annual cash flow</x:v>
      </x:c>
      <x:c r="B44" s="1" t="n">
        <x:f>B43*12</x:f>
        <x:v>1169.6456823628341</x:v>
      </x:c>
    </x:row>
    <x:row r="45">
      <x:c r="A45" t="str">
        <x:v>NOI (annual, excl. CapEx)</x:v>
      </x:c>
      <x:c r="B45" s="1" t="n">
        <x:f>(B11-B40)*12</x:f>
        <x:v>18176</x:v>
      </x:c>
    </x:row>
    <x:row r="46">
      <x:c r="A46" t="str">
        <x:v>Cap rate</x:v>
      </x:c>
      <x:c r="B46" s="3" t="n">
        <x:f>IF(B6&gt;0,B45/B6,0)</x:f>
        <x:v>0.072704</x:v>
      </x:c>
    </x:row>
    <x:row r="47">
      <x:c r="A47" t="str">
        <x:v>Cash-on-cash return</x:v>
      </x:c>
      <x:c r="B47" s="3" t="n">
        <x:f>IF(B28&gt;0,B44/B28,0)</x:f>
        <x:v>0.020341664041092767</x:v>
      </x:c>
    </x:row>
    <x:row r="48">
      <x:c r="A48" t="str">
        <x:v>DSCR</x:v>
      </x:c>
      <x:c r="B48" s="4" t="n">
        <x:f>IF(B25&gt;0,(B11-B40)/B25,"N/A — no debt service")</x:f>
        <x:v>1.1676465554562139</x:v>
      </x:c>
    </x:row>
    <x:row r="50">
      <x:c r="A50" t="str">
        <x:v>Conventions (same as the TrueCap web analyzer):</x:v>
      </x:c>
    </x:row>
    <x:row r="51">
      <x:c r="A51" t="str">
        <x:v>• NOI and DSCR exclude the CapEx reserve — it's a below-the-line return-of-capital reserve, not an operating expense (lender-standard). Cash flow still subtracts it.</x:v>
      </x:c>
    </x:row>
    <x:row r="52">
      <x:c r="A52" t="str">
        <x:v>• PMI applies on financed loans under 20% down; it reduces cash flow but is not part of the debt service used for DSCR.</x:v>
      </x:c>
    </x:row>
    <x:row r="53">
      <x:c r="A53" t="str">
        <x:v>• On an all-cash purchase, DSCR renders N/A — no debt service because no mortgage payment exists to cover.</x:v>
      </x:c>
    </x:row>
    <x:row r="54">
      <x:c r="A54" t="str">
        <x:v>• See the Quick Reference tab for every definition and what counts as a good number.</x:v>
      </x:c>
    </x:row>
    <x:row r="55">
      <x:c r="A55" t="str">
        <x:v>Want this in 60 seconds with market data pre-filled? Type the address at usetruecap.com — free.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cols>
    <x:col min="1" max="1" width="8.83203125" customWidth="1"/>
    <x:col min="2" max="2" width="14.83203125" customWidth="1"/>
    <x:col min="3" max="3" width="30.83203125" customWidth="1"/>
    <x:col min="4" max="4" width="18.83203125" customWidth="1"/>
    <x:col min="5" max="5" width="18.83203125" customWidth="1"/>
    <x:col min="6" max="6" width="18.83203125" customWidth="1"/>
    <x:col min="7" max="7" width="20.83203125" customWidth="1"/>
  </x:cols>
  <x:sheetData>
    <x:row r="1">
      <x:c r="A1" t="str">
        <x:v>10-Year Projection</x:v>
      </x:c>
    </x:row>
    <x:row r="2">
      <x:c r="A2" t="str">
        <x:v>Rent and operating expenses compound at the growth rates below; the P&amp;I payment stays fixed. Pulls its deal from the Deal Analyzer tab.</x:v>
      </x:c>
    </x:row>
    <x:row r="4">
      <x:c r="A4" t="str">
        <x:v>Rent growth (% / yr)</x:v>
      </x:c>
      <x:c r="B4">
        <x:v>2.5</x:v>
      </x:c>
    </x:row>
    <x:row r="5">
      <x:c r="A5" t="str">
        <x:v>Expense growth (% / yr)</x:v>
      </x:c>
      <x:c r="B5">
        <x:v>2.5</x:v>
      </x:c>
    </x:row>
    <x:row r="7">
      <x:c r="A7" t="str">
        <x:v>Year</x:v>
      </x:c>
      <x:c r="B7" t="str">
        <x:v>Annual rent</x:v>
      </x:c>
      <x:c r="C7" t="str">
        <x:v>Operating expenses (incl. CapEx)</x:v>
      </x:c>
      <x:c r="D7" t="str">
        <x:v>NOI (excl. CapEx)</x:v>
      </x:c>
      <x:c r="E7" t="str">
        <x:v>Debt service (P&amp;I)</x:v>
      </x:c>
      <x:c r="F7" t="str">
        <x:v>Annual cash flow</x:v>
      </x:c>
      <x:c r="G7" t="str">
        <x:v>Cumulative cash flow</x:v>
      </x:c>
    </x:row>
    <x:row r="8">
      <x:c r="A8">
        <x:v>1</x:v>
      </x:c>
      <x:c r="B8" s="1" t="n">
        <x:f>'Deal Analyzer'!$B$11*12*(1+$B$4/100)^(A8-1)</x:f>
        <x:v>28800</x:v>
      </x:c>
      <x:c r="C8" s="1" t="n">
        <x:f>'Deal Analyzer'!$B$39*12*(1+$B$5/100)^(A8-1)</x:f>
        <x:v>12064</x:v>
      </x:c>
      <x:c r="D8" s="1" t="n">
        <x:f>B8-'Deal Analyzer'!$B$40*12*(1+$B$5/100)^(A8-1)</x:f>
        <x:v>18176</x:v>
      </x:c>
      <x:c r="E8" s="1" t="n">
        <x:f>'Deal Analyzer'!$B$25*12</x:f>
        <x:v>15566.354317637168</x:v>
      </x:c>
      <x:c r="F8" s="1" t="n">
        <x:f>B8-C8-E8</x:f>
        <x:v>1169.6456823628323</x:v>
      </x:c>
      <x:c r="G8" s="1" t="n">
        <x:f>F8</x:f>
        <x:v>1169.6456823628323</x:v>
      </x:c>
    </x:row>
    <x:row r="9">
      <x:c r="A9">
        <x:v>2</x:v>
      </x:c>
      <x:c r="B9" s="1" t="n">
        <x:f>'Deal Analyzer'!$B$11*12*(1+$B$4/100)^(A9-1)</x:f>
        <x:v>29519.999999999996</x:v>
      </x:c>
      <x:c r="C9" s="1" t="n">
        <x:f>'Deal Analyzer'!$B$39*12*(1+$B$5/100)^(A9-1)</x:f>
        <x:v>12365.599999999999</x:v>
      </x:c>
      <x:c r="D9" s="1" t="n">
        <x:f>B9-'Deal Analyzer'!$B$40*12*(1+$B$5/100)^(A9-1)</x:f>
        <x:v>18630.399999999998</x:v>
      </x:c>
      <x:c r="E9" s="1" t="n">
        <x:f>'Deal Analyzer'!$B$25*12</x:f>
        <x:v>15566.354317637168</x:v>
      </x:c>
      <x:c r="F9" s="1" t="n">
        <x:f>B9-C9-E9</x:f>
        <x:v>1588.0456823628301</x:v>
      </x:c>
      <x:c r="G9" s="1" t="n">
        <x:f>G8+F9</x:f>
        <x:v>2757.6913647256624</x:v>
      </x:c>
    </x:row>
    <x:row r="10">
      <x:c r="A10">
        <x:v>3</x:v>
      </x:c>
      <x:c r="B10" s="1" t="n">
        <x:f>'Deal Analyzer'!$B$11*12*(1+$B$4/100)^(A10-1)</x:f>
        <x:v>30257.999999999996</x:v>
      </x:c>
      <x:c r="C10" s="1" t="n">
        <x:f>'Deal Analyzer'!$B$39*12*(1+$B$5/100)^(A10-1)</x:f>
        <x:v>12674.74</x:v>
      </x:c>
      <x:c r="D10" s="1" t="n">
        <x:f>B10-'Deal Analyzer'!$B$40*12*(1+$B$5/100)^(A10-1)</x:f>
        <x:v>19096.159999999996</x:v>
      </x:c>
      <x:c r="E10" s="1" t="n">
        <x:f>'Deal Analyzer'!$B$25*12</x:f>
        <x:v>15566.354317637168</x:v>
      </x:c>
      <x:c r="F10" s="1" t="n">
        <x:f>B10-C10-E10</x:f>
        <x:v>2016.905682362827</x:v>
      </x:c>
      <x:c r="G10" s="1" t="n">
        <x:f>G9+F10</x:f>
        <x:v>4774.5970470884895</x:v>
      </x:c>
    </x:row>
    <x:row r="11">
      <x:c r="A11">
        <x:v>4</x:v>
      </x:c>
      <x:c r="B11" s="1" t="n">
        <x:f>'Deal Analyzer'!$B$11*12*(1+$B$4/100)^(A11-1)</x:f>
        <x:v>31014.44999999999</x:v>
      </x:c>
      <x:c r="C11" s="1" t="n">
        <x:f>'Deal Analyzer'!$B$39*12*(1+$B$5/100)^(A11-1)</x:f>
        <x:v>12991.608499999997</x:v>
      </x:c>
      <x:c r="D11" s="1" t="n">
        <x:f>B11-'Deal Analyzer'!$B$40*12*(1+$B$5/100)^(A11-1)</x:f>
        <x:v>19573.56399999999</x:v>
      </x:c>
      <x:c r="E11" s="1" t="n">
        <x:f>'Deal Analyzer'!$B$25*12</x:f>
        <x:v>15566.354317637168</x:v>
      </x:c>
      <x:c r="F11" s="1" t="n">
        <x:f>B11-C11-E11</x:f>
        <x:v>2456.4871823628273</x:v>
      </x:c>
      <x:c r="G11" s="1" t="n">
        <x:f>G10+F11</x:f>
        <x:v>7231.084229451317</x:v>
      </x:c>
    </x:row>
    <x:row r="12">
      <x:c r="A12">
        <x:v>5</x:v>
      </x:c>
      <x:c r="B12" s="1" t="n">
        <x:f>'Deal Analyzer'!$B$11*12*(1+$B$4/100)^(A12-1)</x:f>
        <x:v>31789.811249999988</x:v>
      </x:c>
      <x:c r="C12" s="1" t="n">
        <x:f>'Deal Analyzer'!$B$39*12*(1+$B$5/100)^(A12-1)</x:f>
        <x:v>13316.398712499995</x:v>
      </x:c>
      <x:c r="D12" s="1" t="n">
        <x:f>B12-'Deal Analyzer'!$B$40*12*(1+$B$5/100)^(A12-1)</x:f>
        <x:v>20062.903099999992</x:v>
      </x:c>
      <x:c r="E12" s="1" t="n">
        <x:f>'Deal Analyzer'!$B$25*12</x:f>
        <x:v>15566.354317637168</x:v>
      </x:c>
      <x:c r="F12" s="1" t="n">
        <x:f>B12-C12-E12</x:f>
        <x:v>2907.0582198628254</x:v>
      </x:c>
      <x:c r="G12" s="1" t="n">
        <x:f>G11+F12</x:f>
        <x:v>10138.142449314142</x:v>
      </x:c>
    </x:row>
    <x:row r="13">
      <x:c r="A13">
        <x:v>6</x:v>
      </x:c>
      <x:c r="B13" s="1" t="n">
        <x:f>'Deal Analyzer'!$B$11*12*(1+$B$4/100)^(A13-1)</x:f>
        <x:v>32584.556531249982</x:v>
      </x:c>
      <x:c r="C13" s="1" t="n">
        <x:f>'Deal Analyzer'!$B$39*12*(1+$B$5/100)^(A13-1)</x:f>
        <x:v>13649.308680312493</x:v>
      </x:c>
      <x:c r="D13" s="1" t="n">
        <x:f>B13-'Deal Analyzer'!$B$40*12*(1+$B$5/100)^(A13-1)</x:f>
        <x:v>20564.475677499988</x:v>
      </x:c>
      <x:c r="E13" s="1" t="n">
        <x:f>'Deal Analyzer'!$B$25*12</x:f>
        <x:v>15566.354317637168</x:v>
      </x:c>
      <x:c r="F13" s="1" t="n">
        <x:f>B13-C13-E13</x:f>
        <x:v>3368.893533300321</x:v>
      </x:c>
      <x:c r="G13" s="1" t="n">
        <x:f>G12+F13</x:f>
        <x:v>13507.035982614463</x:v>
      </x:c>
    </x:row>
    <x:row r="14">
      <x:c r="A14">
        <x:v>7</x:v>
      </x:c>
      <x:c r="B14" s="1" t="n">
        <x:f>'Deal Analyzer'!$B$11*12*(1+$B$4/100)^(A14-1)</x:f>
        <x:v>33399.17044453123</x:v>
      </x:c>
      <x:c r="C14" s="1" t="n">
        <x:f>'Deal Analyzer'!$B$39*12*(1+$B$5/100)^(A14-1)</x:f>
        <x:v>13990.541397320305</x:v>
      </x:c>
      <x:c r="D14" s="1" t="n">
        <x:f>B14-'Deal Analyzer'!$B$40*12*(1+$B$5/100)^(A14-1)</x:f>
        <x:v>21078.587569437484</x:v>
      </x:c>
      <x:c r="E14" s="1" t="n">
        <x:f>'Deal Analyzer'!$B$25*12</x:f>
        <x:v>15566.354317637168</x:v>
      </x:c>
      <x:c r="F14" s="1" t="n">
        <x:f>B14-C14-E14</x:f>
        <x:v>3842.274729573757</x:v>
      </x:c>
      <x:c r="G14" s="1" t="n">
        <x:f>G13+F14</x:f>
        <x:v>17349.31071218822</x:v>
      </x:c>
    </x:row>
    <x:row r="15">
      <x:c r="A15">
        <x:v>8</x:v>
      </x:c>
      <x:c r="B15" s="1" t="n">
        <x:f>'Deal Analyzer'!$B$11*12*(1+$B$4/100)^(A15-1)</x:f>
        <x:v>34234.149705644515</x:v>
      </x:c>
      <x:c r="C15" s="1" t="n">
        <x:f>'Deal Analyzer'!$B$39*12*(1+$B$5/100)^(A15-1)</x:f>
        <x:v>14340.304932253313</x:v>
      </x:c>
      <x:c r="D15" s="1" t="n">
        <x:f>B15-'Deal Analyzer'!$B$40*12*(1+$B$5/100)^(A15-1)</x:f>
        <x:v>21605.55225867343</x:v>
      </x:c>
      <x:c r="E15" s="1" t="n">
        <x:f>'Deal Analyzer'!$B$25*12</x:f>
        <x:v>15566.354317637168</x:v>
      </x:c>
      <x:c r="F15" s="1" t="n">
        <x:f>B15-C15-E15</x:f>
        <x:v>4327.490455754036</x:v>
      </x:c>
      <x:c r="G15" s="1" t="n">
        <x:f>G14+F15</x:f>
        <x:v>21676.801167942256</x:v>
      </x:c>
    </x:row>
    <x:row r="16">
      <x:c r="A16">
        <x:v>9</x:v>
      </x:c>
      <x:c r="B16" s="1" t="n">
        <x:f>'Deal Analyzer'!$B$11*12*(1+$B$4/100)^(A16-1)</x:f>
        <x:v>35090.00344828561</x:v>
      </x:c>
      <x:c r="C16" s="1" t="n">
        <x:f>'Deal Analyzer'!$B$39*12*(1+$B$5/100)^(A16-1)</x:f>
        <x:v>14698.812555559642</x:v>
      </x:c>
      <x:c r="D16" s="1" t="n">
        <x:f>B16-'Deal Analyzer'!$B$40*12*(1+$B$5/100)^(A16-1)</x:f>
        <x:v>22145.69106514025</x:v>
      </x:c>
      <x:c r="E16" s="1" t="n">
        <x:f>'Deal Analyzer'!$B$25*12</x:f>
        <x:v>15566.354317637168</x:v>
      </x:c>
      <x:c r="F16" s="1" t="n">
        <x:f>B16-C16-E16</x:f>
        <x:v>4824.836575088804</x:v>
      </x:c>
      <x:c r="G16" s="1" t="n">
        <x:f>G15+F16</x:f>
        <x:v>26501.63774303106</x:v>
      </x:c>
    </x:row>
    <x:row r="17">
      <x:c r="A17">
        <x:v>10</x:v>
      </x:c>
      <x:c r="B17" s="1" t="n">
        <x:f>'Deal Analyzer'!$B$11*12*(1+$B$4/100)^(A17-1)</x:f>
        <x:v>35967.25353449276</x:v>
      </x:c>
      <x:c r="C17" s="1" t="n">
        <x:f>'Deal Analyzer'!$B$39*12*(1+$B$5/100)^(A17-1)</x:f>
        <x:v>15066.282869448632</x:v>
      </x:c>
      <x:c r="D17" s="1" t="n">
        <x:f>B17-'Deal Analyzer'!$B$40*12*(1+$B$5/100)^(A17-1)</x:f>
        <x:v>22699.333341768765</x:v>
      </x:c>
      <x:c r="E17" s="1" t="n">
        <x:f>'Deal Analyzer'!$B$25*12</x:f>
        <x:v>15566.354317637168</x:v>
      </x:c>
      <x:c r="F17" s="1" t="n">
        <x:f>B17-C17-E17</x:f>
        <x:v>5334.616347406962</x:v>
      </x:c>
      <x:c r="G17" s="1" t="n">
        <x:f>G16+F17</x:f>
        <x:v>31836.254090438022</x:v>
      </x:c>
    </x:row>
    <x:row r="19">
      <x:c r="A19" t="str">
        <x:v>Notes:</x:v>
      </x:c>
    </x:row>
    <x:row r="20">
      <x:c r="A20" t="str">
        <x:v>• Kept deliberately simple: PMI changes, scheduled principal balance, property value, sale proceeds, and tax effects are not modeled here.</x:v>
      </x:c>
    </x:row>
    <x:row r="21">
      <x:c r="A21" t="str">
        <x:v>• The TrueCap web analyzer adds scheduled loan balance, cash-flow and modeled-equity planning, sensitivity, Offer Ceiling, and saved/compare workflows from editable assumptions.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cols>
    <x:col min="1" max="1" width="36.83203125" customWidth="1"/>
    <x:col min="2" max="2" width="90.83203125" customWidth="1"/>
    <x:col min="3" max="3" width="70.83203125" customWidth="1"/>
  </x:cols>
  <x:sheetData>
    <x:row r="1">
      <x:c r="A1" t="str">
        <x:v>Quick Reference</x:v>
      </x:c>
    </x:row>
    <x:row r="2">
      <x:c r="A2" t="str">
        <x:v>Definitions and benchmarks from the TrueCap glossary (usetruecap.com/glossary), plus the exact bands TrueCap's verdict engine uses.</x:v>
      </x:c>
    </x:row>
    <x:row r="4">
      <x:c r="A4" t="str">
        <x:v>Term</x:v>
      </x:c>
      <x:c r="B4" t="str">
        <x:v>Definition</x:v>
      </x:c>
      <x:c r="C4" t="str">
        <x:v>What's a good number</x:v>
      </x:c>
    </x:row>
    <x:row r="5">
      <x:c r="A5" t="str">
        <x:v>Cap Rate</x:v>
      </x:c>
      <x:c r="B5" t="str">
        <x:v>Net Operating Income ÷ property value. The unleveraged return a property generates, independent of financing.</x:v>
      </x:c>
      <x:c r="C5" t="str">
        <x:v>No universal range is a property fact or investment threshold. Compare consistently calculated cap rates using dated, local evidence and the same expense conventions.</x:v>
      </x:c>
    </x:row>
    <x:row r="6">
      <x:c r="A6" t="str">
        <x:v>Cash-on-Cash Return</x:v>
      </x:c>
      <x:c r="B6" t="str">
        <x:v>Annual cash flow ÷ total cash invested (down payment + closing + rehab). Tells you how hard your money is working.</x:v>
      </x:c>
      <x:c r="C6" t="str">
        <x:v>There is no universal target. Set a criterion that fits the strategy, financing, liquidity, and risk constraints, then verify every cash-flow and cash-invested input.</x:v>
      </x:c>
    </x:row>
    <x:row r="7">
      <x:c r="A7" t="str">
        <x:v>Monthly Cash Flow</x:v>
      </x:c>
      <x:c r="B7" t="str">
        <x:v>Rent minus operating expenses minus mortgage payment. The cash that lands in your account each month.</x:v>
      </x:c>
      <x:c r="C7" t="str">
        <x:v>See the TrueCap verdict bands below.</x:v>
      </x:c>
    </x:row>
    <x:row r="8">
      <x:c r="A8" t="str">
        <x:v>DSCR (Debt Service Coverage Ratio)</x:v>
      </x:c>
      <x:c r="B8" t="str">
        <x:v>Net Operating Income ÷ mortgage payment. Measures whether the property's income comfortably covers debt service.</x:v>
      </x:c>
      <x:c r="C8" t="str">
        <x:v>Lenders typically want ≥1.25 for investment loans; 1.0 means exactly break-even on debt service.</x:v>
      </x:c>
    </x:row>
    <x:row r="9">
      <x:c r="A9" t="str">
        <x:v>NOI (Net Operating Income)</x:v>
      </x:c>
      <x:c r="B9" t="str">
        <x:v>Gross annual rent minus all operating expenses, before debt service and income tax.</x:v>
      </x:c>
    </x:row>
    <x:row r="10">
      <x:c r="A10" t="str">
        <x:v>1% Rule</x:v>
      </x:c>
      <x:c r="B10" t="str">
        <x:v>Rule of thumb: monthly rent should equal at least 1% of purchase price. A 5-second screening filter, not a verdict.</x:v>
      </x:c>
    </x:row>
    <x:row r="11">
      <x:c r="A11" t="str">
        <x:v>Vacancy Reserve</x:v>
      </x:c>
      <x:c r="B11" t="str">
        <x:v>Reserve for months without a paying tenant. Typically 5–8% of gross rent, depending on the market.</x:v>
      </x:c>
    </x:row>
    <x:row r="12">
      <x:c r="A12" t="str">
        <x:v>Maintenance Reserve</x:v>
      </x:c>
      <x:c r="B12" t="str">
        <x:v>Monthly reserve for routine repairs. Typical: 5-8% of rent for newer properties, 10-15% for older.</x:v>
      </x:c>
    </x:row>
    <x:row r="13">
      <x:c r="A13" t="str">
        <x:v>CapEx (Capital Expenditures)</x:v>
      </x:c>
      <x:c r="B13" t="str">
        <x:v>Reserves for large infrequent repairs — roof, HVAC, water heater. Typically 5–10% of rent set aside each month.</x:v>
      </x:c>
    </x:row>
    <x:row r="14">
      <x:c r="A14" t="str">
        <x:v>Management Fee</x:v>
      </x:c>
      <x:c r="B14" t="str">
        <x:v>Property management cost as % of collected rent. Typical PM fees: 8-10%. Set to 0 if you self-manage.</x:v>
      </x:c>
    </x:row>
    <x:row r="15">
      <x:c r="A15" t="str">
        <x:v>Property Tax</x:v>
      </x:c>
      <x:c r="B15" t="str">
        <x:v>Annual property tax as a percent of value. This workbook starts at 1.1% of price as a placeholder; replace it with the local annual bill or a reviewed local effective rate.</x:v>
      </x:c>
    </x:row>
    <x:row r="16">
      <x:c r="A16" t="str">
        <x:v>Insurance</x:v>
      </x:c>
      <x:c r="B16" t="str">
        <x:v>Annual landlord insurance. Typically 0.3-0.7% of property value for SFR; higher in coastal/storm zones.</x:v>
      </x:c>
    </x:row>
    <x:row r="17">
      <x:c r="A17" t="str">
        <x:v>Closing Costs</x:v>
      </x:c>
      <x:c r="B17" t="str">
        <x:v>Lender fees, title, escrow, insurance prepay, etc. Typically 2-4% of purchase price for investment properties.</x:v>
      </x:c>
    </x:row>
    <x:row r="18">
      <x:c r="A18" t="str">
        <x:v>Down Payment %</x:v>
      </x:c>
      <x:c r="B18" t="str">
        <x:v>Share of the purchase price you pay in cash. Required investment-property down payment varies by occupancy, borrower, property, lender, and loan program.</x:v>
      </x:c>
    </x:row>
    <x:row r="20">
      <x:c r="A20" t="str">
        <x:v>TRUECAP VERDICT BANDS — FINANCED DEALS</x:v>
      </x:c>
    </x:row>
    <x:row r="21">
      <x:c r="A21" t="str">
        <x:v>Strong</x:v>
      </x:c>
      <x:c r="B21" t="str">
        <x:v>Monthly cash flow ≥ $400 with DSCR ≥ 1.25 and cash-on-cash ≥ 10%.</x:v>
      </x:c>
    </x:row>
    <x:row r="22">
      <x:c r="A22" t="str">
        <x:v>Solid</x:v>
      </x:c>
      <x:c r="B22" t="str">
        <x:v>Monthly cash flow ≥ $100 with DSCR ≥ 1.15 and cash-on-cash ≥ 6%.</x:v>
      </x:c>
    </x:row>
    <x:row r="23">
      <x:c r="A23" t="str">
        <x:v>Mixed</x:v>
      </x:c>
      <x:c r="B23" t="str">
        <x:v>Positive cash flow and DSCR ≥ 1.0, but below the Solid bars — one or two metrics under target.</x:v>
      </x:c>
    </x:row>
    <x:row r="24">
      <x:c r="A24" t="str">
        <x:v>Marginal</x:v>
      </x:c>
      <x:c r="B24" t="str">
        <x:v>Cash flow below $0 (down to −$200) or DSCR below 1.0 (down to 0.9).</x:v>
      </x:c>
    </x:row>
    <x:row r="25">
      <x:c r="A25" t="str">
        <x:v>Negative</x:v>
      </x:c>
      <x:c r="B25" t="str">
        <x:v>Cash flow below −$200 or DSCR below 0.9.</x:v>
      </x:c>
    </x:row>
    <x:row r="27">
      <x:c r="A27" t="str">
        <x:v>TRUECAP VERDICT BANDS — ALL-CASH DEALS (DSCR doesn't apply)</x:v>
      </x:c>
    </x:row>
    <x:row r="28">
      <x:c r="A28" t="str">
        <x:v>Strong</x:v>
      </x:c>
      <x:c r="B28" t="str">
        <x:v>Monthly cash flow ≥ $400 with cap rate ≥ 7% and cash-on-cash ≥ 8%.</x:v>
      </x:c>
    </x:row>
    <x:row r="29">
      <x:c r="A29" t="str">
        <x:v>Solid</x:v>
      </x:c>
      <x:c r="B29" t="str">
        <x:v>Monthly cash flow ≥ $100 with cap rate ≥ 5% and cash-on-cash ≥ 5%.</x:v>
      </x:c>
    </x:row>
    <x:row r="30">
      <x:c r="A30" t="str">
        <x:v>Mixed</x:v>
      </x:c>
      <x:c r="B30" t="str">
        <x:v>Positive cash flow but below the Solid bars.</x:v>
      </x:c>
    </x:row>
    <x:row r="31">
      <x:c r="A31" t="str">
        <x:v>Marginal</x:v>
      </x:c>
      <x:c r="B31" t="str">
        <x:v>Cash flow below $0, down to −$200.</x:v>
      </x:c>
    </x:row>
    <x:row r="32">
      <x:c r="A32" t="str">
        <x:v>Negative</x:v>
      </x:c>
      <x:c r="B32" t="str">
        <x:v>Cash flow below −$200.</x:v>
      </x:c>
    </x:row>
    <x:row r="34">
      <x:c r="A34" t="str">
        <x:v>These are rule-of-thumb bands, not a substitute for a full underwrite. Judge them against honest expense reserves.</x:v>
      </x:c>
    </x:row>
  </x:sheetData>
  <x:pageMargins left="0.7" right="0.7" top="0.75" bottom="0.75" header="0.3" footer="0.3"/>
</x:worksheet>
</file>